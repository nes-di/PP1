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cesifr-my.sharepoint.com/personal/lpavard_cesi_fr/Documents/3. ERP Informatique/3. BSMP/1. DI/Promo/DI 25-27 SE/5. BLOC METIER 1/1. Projets metiers/Projets Individuels/INFETPP1 - Je code mon premier prototype de jeu (niveau I)/"/>
    </mc:Choice>
  </mc:AlternateContent>
  <xr:revisionPtr revIDLastSave="0" documentId="13_ncr:1_{8F01D604-5B48-4665-840D-462B609CDC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ille à poi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3" i="1" l="1"/>
  <c r="E14" i="1" s="1"/>
  <c r="H53" i="1" l="1"/>
  <c r="H4" i="1"/>
  <c r="H6" i="1" l="1"/>
  <c r="D53" i="1" l="1"/>
  <c r="H36" i="1" s="1"/>
  <c r="H14" i="1" l="1"/>
  <c r="F36" i="1"/>
  <c r="D36" i="1"/>
  <c r="C36" i="1"/>
  <c r="G14" i="1"/>
</calcChain>
</file>

<file path=xl/sharedStrings.xml><?xml version="1.0" encoding="utf-8"?>
<sst xmlns="http://schemas.openxmlformats.org/spreadsheetml/2006/main" count="46" uniqueCount="45">
  <si>
    <t>Promotion :</t>
  </si>
  <si>
    <t>Note individuelle</t>
  </si>
  <si>
    <t>Critères</t>
  </si>
  <si>
    <t>Points à attribuer</t>
  </si>
  <si>
    <t>Points obtenus</t>
  </si>
  <si>
    <t>Commentaires/Argumentations</t>
  </si>
  <si>
    <t>Thèmes</t>
  </si>
  <si>
    <t>Conversion lettre</t>
  </si>
  <si>
    <t>Total :</t>
  </si>
  <si>
    <t>Date :</t>
  </si>
  <si>
    <t>Nom-Prénom</t>
  </si>
  <si>
    <t>Note (lettre) individuelle :</t>
  </si>
  <si>
    <t>Evaluateur 1</t>
  </si>
  <si>
    <t>Evaluateur 2</t>
  </si>
  <si>
    <t>Evaluateur 3</t>
  </si>
  <si>
    <t>Qualité de la prestation orale</t>
  </si>
  <si>
    <t>Compétences techniques</t>
  </si>
  <si>
    <t>Commentaires :</t>
  </si>
  <si>
    <t>A : Acquis : les objectifs définis sont atteints</t>
  </si>
  <si>
    <t xml:space="preserve">B : Acquis : les objectifs définis sont partiellement atteints - écarts mineurs constatés </t>
  </si>
  <si>
    <t>C : Non acquis : les objectifs définis ne sont pas atteints - écarts majeurs constatés</t>
  </si>
  <si>
    <t>Note* finale</t>
  </si>
  <si>
    <t>*</t>
  </si>
  <si>
    <t>D : Non acquis : les objectifs définis ne sont pas atteints - écarts critiques constatés</t>
  </si>
  <si>
    <t>Signature</t>
  </si>
  <si>
    <t>Veuillez ne pas toucher aux formules de calculs présentes dans la grille</t>
  </si>
  <si>
    <t>Candidat</t>
  </si>
  <si>
    <t>Logigramme en adéquation avec le flux du processus</t>
  </si>
  <si>
    <t>MCD cohérent avec la version livrée</t>
  </si>
  <si>
    <t>Commencer et gérer une partie (nouvelle partie, reprise, enregistrement, historique)</t>
  </si>
  <si>
    <t>Gestion du joueur (Demande du nom)</t>
  </si>
  <si>
    <t>Epreuve sous forme de quizz</t>
  </si>
  <si>
    <t>Progression par étape (réussite, affrontement des boss, clavier d'or)</t>
  </si>
  <si>
    <t>Jeu de données cohérent</t>
  </si>
  <si>
    <t>Aucun bug présent</t>
  </si>
  <si>
    <t>Retour d'expérience (réussite &amp; axe d'amélioration)</t>
  </si>
  <si>
    <t>Conservation et affichage des scores</t>
  </si>
  <si>
    <t xml:space="preserve">Rendre compte (point d'avancement) à mi parcours </t>
  </si>
  <si>
    <t>INFETPP1</t>
  </si>
  <si>
    <t>Je code mon premier prototype de jeu</t>
  </si>
  <si>
    <t>Référence projet :</t>
  </si>
  <si>
    <t>Nom projet :</t>
  </si>
  <si>
    <t>Requetes SQL fonctionnelles</t>
  </si>
  <si>
    <t>Animation et prise en compte de l’auditoire</t>
  </si>
  <si>
    <t>Réponses aux questions argumentées et justifiées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</si>
</sst>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</font>
    <font>
      <sz val="4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/>
    <xf numFmtId="0" fontId="7" fillId="0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7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9" fillId="0" borderId="10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3" fillId="0" borderId="33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2" fillId="0" borderId="37" xfId="0" applyFont="1" applyBorder="1" applyAlignment="1">
      <alignment vertical="top"/>
    </xf>
    <xf numFmtId="0" fontId="2" fillId="0" borderId="38" xfId="0" applyFont="1" applyBorder="1" applyAlignment="1">
      <alignment vertical="top"/>
    </xf>
    <xf numFmtId="0" fontId="2" fillId="0" borderId="39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5" borderId="0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" fillId="0" borderId="0" xfId="0" quotePrefix="1" applyFont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15" fillId="0" borderId="0" xfId="0" applyFont="1" applyAlignment="1">
      <alignment wrapText="1"/>
    </xf>
    <xf numFmtId="0" fontId="13" fillId="0" borderId="0" xfId="0" applyFont="1"/>
    <xf numFmtId="0" fontId="16" fillId="0" borderId="0" xfId="0" applyFont="1"/>
    <xf numFmtId="0" fontId="0" fillId="0" borderId="38" xfId="0" applyBorder="1" applyAlignment="1">
      <alignment horizontal="center" vertical="center"/>
    </xf>
    <xf numFmtId="0" fontId="6" fillId="0" borderId="44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49" xfId="0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0" fillId="0" borderId="17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47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8" fillId="0" borderId="5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40" xfId="0" applyFont="1" applyBorder="1" applyAlignment="1">
      <alignment horizontal="center" vertical="top"/>
    </xf>
    <xf numFmtId="0" fontId="2" fillId="0" borderId="36" xfId="0" applyFont="1" applyBorder="1" applyAlignment="1">
      <alignment horizontal="center" vertical="top"/>
    </xf>
    <xf numFmtId="0" fontId="2" fillId="0" borderId="41" xfId="0" applyFont="1" applyBorder="1" applyAlignment="1">
      <alignment horizontal="center" vertical="top"/>
    </xf>
    <xf numFmtId="0" fontId="2" fillId="0" borderId="42" xfId="0" applyFont="1" applyBorder="1" applyAlignment="1">
      <alignment horizontal="center" vertical="top"/>
    </xf>
    <xf numFmtId="0" fontId="2" fillId="0" borderId="4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4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2" fillId="0" borderId="0" xfId="0" applyFont="1" applyAlignment="1">
      <alignment horizontal="right" vertical="center" wrapText="1"/>
    </xf>
    <xf numFmtId="0" fontId="12" fillId="0" borderId="40" xfId="0" applyFont="1" applyBorder="1" applyAlignment="1">
      <alignment horizontal="right" vertical="center" wrapText="1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12" fillId="4" borderId="12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8" fillId="0" borderId="3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showGridLines="0" tabSelected="1" topLeftCell="A41" zoomScale="110" zoomScaleNormal="110" zoomScalePageLayoutView="130" workbookViewId="0">
      <selection activeCell="B49" sqref="B49:C49"/>
    </sheetView>
  </sheetViews>
  <sheetFormatPr baseColWidth="10" defaultRowHeight="15" x14ac:dyDescent="0.25"/>
  <cols>
    <col min="1" max="1" width="14.42578125" customWidth="1"/>
    <col min="2" max="2" width="11.42578125" style="2" customWidth="1"/>
    <col min="3" max="3" width="20.5703125" customWidth="1"/>
    <col min="4" max="5" width="8.5703125" customWidth="1"/>
    <col min="6" max="6" width="9.5703125" customWidth="1"/>
    <col min="7" max="7" width="8.5703125" customWidth="1"/>
    <col min="8" max="8" width="16.5703125" customWidth="1"/>
  </cols>
  <sheetData>
    <row r="1" spans="1:10" s="2" customFormat="1" x14ac:dyDescent="0.25"/>
    <row r="2" spans="1:10" s="2" customFormat="1" ht="10.35" customHeight="1" x14ac:dyDescent="0.25"/>
    <row r="3" spans="1:10" ht="15.75" thickBot="1" x14ac:dyDescent="0.3"/>
    <row r="4" spans="1:10" s="22" customFormat="1" ht="30.75" customHeight="1" thickBot="1" x14ac:dyDescent="0.4">
      <c r="A4" s="101" t="s">
        <v>40</v>
      </c>
      <c r="B4" s="102"/>
      <c r="C4" s="105" t="s">
        <v>38</v>
      </c>
      <c r="D4" s="106"/>
      <c r="E4" s="106"/>
      <c r="F4" s="106"/>
      <c r="G4" s="107"/>
      <c r="H4" s="37" t="e">
        <f ca="1">RIGHT(MID(CELL("nomfichier",A1),FIND("[",CELL("nomfichier",A1))+1,FIND("]", CELL("nomfichier",A1))-FIND("[",CELL("nomfichier",A1))-1),(LEN(MID(CELL("nomfichier",A1),FIND("[",CELL("nomfichier",A1))+1,FIND("]", CELL("nomfichier",A1))-FIND("[",CELL("nomfichier",A1))-1))-SEARCH("-",MID(CELL("nomfichier",A1),FIND("[",CELL("nomfichier",A1))+1,FIND("]", CELL("nomfichier",A1))-FIND("[",CELL("nomfichier",A1))-1))))</f>
        <v>#VALUE!</v>
      </c>
    </row>
    <row r="5" spans="1:10" s="22" customFormat="1" ht="10.35" customHeight="1" thickBot="1" x14ac:dyDescent="0.4">
      <c r="B5" s="23"/>
      <c r="C5" s="33"/>
      <c r="D5" s="33"/>
      <c r="E5" s="33"/>
      <c r="F5" s="33"/>
      <c r="G5" s="33"/>
      <c r="H5" s="38"/>
    </row>
    <row r="6" spans="1:10" ht="34.5" customHeight="1" thickBot="1" x14ac:dyDescent="0.3">
      <c r="A6" s="101" t="s">
        <v>41</v>
      </c>
      <c r="B6" s="102"/>
      <c r="C6" s="105" t="s">
        <v>39</v>
      </c>
      <c r="D6" s="106"/>
      <c r="E6" s="106"/>
      <c r="F6" s="106"/>
      <c r="G6" s="107"/>
      <c r="H6" s="37" t="e">
        <f ca="1">RIGHT(H4,(LEN(H4)-SEARCH("-",H4)-1))</f>
        <v>#VALUE!</v>
      </c>
    </row>
    <row r="7" spans="1:10" x14ac:dyDescent="0.25">
      <c r="J7" s="39" t="s">
        <v>25</v>
      </c>
    </row>
    <row r="8" spans="1:10" ht="15.75" thickBot="1" x14ac:dyDescent="0.3"/>
    <row r="9" spans="1:10" ht="24" customHeight="1" thickBot="1" x14ac:dyDescent="0.3">
      <c r="A9" s="32" t="s">
        <v>0</v>
      </c>
      <c r="B9" s="69"/>
      <c r="C9" s="70"/>
      <c r="E9" s="31" t="s">
        <v>9</v>
      </c>
      <c r="F9" s="69"/>
      <c r="G9" s="70"/>
    </row>
    <row r="10" spans="1:10" s="2" customFormat="1" ht="15.75" thickBot="1" x14ac:dyDescent="0.3"/>
    <row r="11" spans="1:10" s="2" customFormat="1" ht="12.6" customHeight="1" x14ac:dyDescent="0.25">
      <c r="E11" s="111"/>
      <c r="F11" s="112"/>
    </row>
    <row r="12" spans="1:10" ht="8.4499999999999993" customHeight="1" thickBot="1" x14ac:dyDescent="0.3">
      <c r="E12" s="79"/>
      <c r="F12" s="80"/>
    </row>
    <row r="13" spans="1:10" x14ac:dyDescent="0.25">
      <c r="A13" s="13"/>
      <c r="B13" s="66" t="s">
        <v>10</v>
      </c>
      <c r="C13" s="67"/>
      <c r="D13" s="68"/>
      <c r="E13" s="75" t="s">
        <v>1</v>
      </c>
      <c r="F13" s="76"/>
      <c r="H13" s="25" t="s">
        <v>21</v>
      </c>
    </row>
    <row r="14" spans="1:10" s="4" customFormat="1" ht="19.350000000000001" customHeight="1" thickBot="1" x14ac:dyDescent="0.3">
      <c r="A14" s="7" t="s">
        <v>26</v>
      </c>
      <c r="B14" s="65"/>
      <c r="C14" s="65"/>
      <c r="D14" s="65"/>
      <c r="E14" s="77" t="str">
        <f>E53</f>
        <v/>
      </c>
      <c r="F14" s="78"/>
      <c r="G14" s="41">
        <f t="shared" ref="G14" si="0">(IF(E14="A", 4, IF(E14="B", 3, IF(E14="C", 2, IF(E14="D",1, 0))))+(2*IF(F14="A", 4, IF(F14="B", 3, IF(F14="C", 2, IF(F14="D",1, 0))))))/3</f>
        <v>0</v>
      </c>
      <c r="H14" s="26" t="str">
        <f>H53</f>
        <v/>
      </c>
    </row>
    <row r="15" spans="1:10" s="4" customFormat="1" ht="19.350000000000001" customHeight="1" x14ac:dyDescent="0.25">
      <c r="A15" s="14"/>
      <c r="B15" s="15"/>
      <c r="C15" s="15"/>
      <c r="D15" s="15"/>
      <c r="E15" s="16"/>
      <c r="F15" s="40"/>
      <c r="G15" s="24"/>
      <c r="H15" s="16"/>
    </row>
    <row r="16" spans="1:10" s="4" customFormat="1" ht="15" customHeight="1" x14ac:dyDescent="0.25">
      <c r="A16" s="35" t="s">
        <v>22</v>
      </c>
      <c r="B16" s="34" t="s">
        <v>18</v>
      </c>
      <c r="D16" s="15"/>
      <c r="E16" s="16"/>
      <c r="F16" s="16"/>
      <c r="G16" s="24"/>
      <c r="H16" s="16"/>
    </row>
    <row r="17" spans="1:8" s="4" customFormat="1" ht="15" customHeight="1" x14ac:dyDescent="0.25">
      <c r="A17" s="14"/>
      <c r="B17" s="34" t="s">
        <v>19</v>
      </c>
      <c r="D17" s="15"/>
      <c r="E17" s="16"/>
      <c r="F17" s="16"/>
      <c r="G17" s="24"/>
      <c r="H17" s="16"/>
    </row>
    <row r="18" spans="1:8" s="4" customFormat="1" ht="15" customHeight="1" x14ac:dyDescent="0.25">
      <c r="A18" s="14"/>
      <c r="B18" s="34" t="s">
        <v>20</v>
      </c>
      <c r="D18" s="15"/>
      <c r="E18" s="16"/>
      <c r="F18" s="16"/>
      <c r="G18" s="24"/>
      <c r="H18" s="16"/>
    </row>
    <row r="19" spans="1:8" s="4" customFormat="1" ht="15" customHeight="1" x14ac:dyDescent="0.25">
      <c r="A19" s="14"/>
      <c r="B19" s="34" t="s">
        <v>23</v>
      </c>
      <c r="D19" s="15"/>
      <c r="E19" s="16"/>
      <c r="F19" s="16"/>
      <c r="G19" s="24"/>
      <c r="H19" s="16"/>
    </row>
    <row r="20" spans="1:8" s="4" customFormat="1" ht="19.350000000000001" customHeight="1" thickBot="1" x14ac:dyDescent="0.3">
      <c r="A20" s="14"/>
      <c r="B20" s="15"/>
      <c r="C20" s="15"/>
      <c r="D20" s="15"/>
      <c r="E20" s="16"/>
      <c r="F20" s="16"/>
      <c r="G20" s="24"/>
      <c r="H20" s="16"/>
    </row>
    <row r="21" spans="1:8" ht="15.75" thickBot="1" x14ac:dyDescent="0.3">
      <c r="A21" s="3"/>
      <c r="B21" s="103" t="s">
        <v>10</v>
      </c>
      <c r="C21" s="103"/>
      <c r="D21" s="104"/>
      <c r="E21" s="108" t="s">
        <v>24</v>
      </c>
      <c r="F21" s="109"/>
      <c r="G21" s="110"/>
    </row>
    <row r="22" spans="1:8" ht="37.35" customHeight="1" x14ac:dyDescent="0.25">
      <c r="A22" s="5" t="s">
        <v>12</v>
      </c>
      <c r="B22" s="71"/>
      <c r="C22" s="71"/>
      <c r="D22" s="66"/>
      <c r="E22" s="90"/>
      <c r="F22" s="71"/>
      <c r="G22" s="91"/>
      <c r="H22" s="14"/>
    </row>
    <row r="23" spans="1:8" ht="37.35" customHeight="1" x14ac:dyDescent="0.25">
      <c r="A23" s="6" t="s">
        <v>13</v>
      </c>
      <c r="B23" s="72"/>
      <c r="C23" s="72"/>
      <c r="D23" s="73"/>
      <c r="E23" s="92"/>
      <c r="F23" s="72"/>
      <c r="G23" s="93"/>
      <c r="H23" s="14"/>
    </row>
    <row r="24" spans="1:8" ht="37.35" customHeight="1" thickBot="1" x14ac:dyDescent="0.3">
      <c r="A24" s="7" t="s">
        <v>14</v>
      </c>
      <c r="B24" s="65"/>
      <c r="C24" s="65"/>
      <c r="D24" s="74"/>
      <c r="E24" s="81"/>
      <c r="F24" s="65"/>
      <c r="G24" s="82"/>
      <c r="H24" s="14"/>
    </row>
    <row r="25" spans="1:8" s="2" customFormat="1" ht="18" customHeight="1" thickBot="1" x14ac:dyDescent="0.3">
      <c r="A25" s="14"/>
      <c r="B25" s="15"/>
      <c r="C25" s="15"/>
      <c r="D25" s="15"/>
      <c r="E25" s="14"/>
      <c r="F25" s="14"/>
      <c r="G25" s="14"/>
      <c r="H25" s="14"/>
    </row>
    <row r="26" spans="1:8" s="2" customFormat="1" ht="21" customHeight="1" x14ac:dyDescent="0.25">
      <c r="A26" s="27" t="s">
        <v>17</v>
      </c>
      <c r="B26" s="28"/>
      <c r="C26" s="28"/>
      <c r="D26" s="28"/>
      <c r="E26" s="28"/>
      <c r="F26" s="28"/>
      <c r="G26" s="28"/>
      <c r="H26" s="29"/>
    </row>
    <row r="27" spans="1:8" s="2" customFormat="1" ht="17.100000000000001" customHeight="1" x14ac:dyDescent="0.25">
      <c r="A27" s="83"/>
      <c r="B27" s="84"/>
      <c r="C27" s="84"/>
      <c r="D27" s="84"/>
      <c r="E27" s="84"/>
      <c r="F27" s="84"/>
      <c r="G27" s="84"/>
      <c r="H27" s="85"/>
    </row>
    <row r="28" spans="1:8" s="2" customFormat="1" ht="17.100000000000001" customHeight="1" x14ac:dyDescent="0.25">
      <c r="A28" s="86"/>
      <c r="B28" s="84"/>
      <c r="C28" s="84"/>
      <c r="D28" s="84"/>
      <c r="E28" s="84"/>
      <c r="F28" s="84"/>
      <c r="G28" s="84"/>
      <c r="H28" s="85"/>
    </row>
    <row r="29" spans="1:8" s="2" customFormat="1" ht="17.100000000000001" customHeight="1" x14ac:dyDescent="0.25">
      <c r="A29" s="86"/>
      <c r="B29" s="84"/>
      <c r="C29" s="84"/>
      <c r="D29" s="84"/>
      <c r="E29" s="84"/>
      <c r="F29" s="84"/>
      <c r="G29" s="84"/>
      <c r="H29" s="85"/>
    </row>
    <row r="30" spans="1:8" s="2" customFormat="1" ht="17.100000000000001" customHeight="1" x14ac:dyDescent="0.25">
      <c r="A30" s="86"/>
      <c r="B30" s="84"/>
      <c r="C30" s="84"/>
      <c r="D30" s="84"/>
      <c r="E30" s="84"/>
      <c r="F30" s="84"/>
      <c r="G30" s="84"/>
      <c r="H30" s="85"/>
    </row>
    <row r="31" spans="1:8" s="2" customFormat="1" ht="17.100000000000001" customHeight="1" x14ac:dyDescent="0.25">
      <c r="A31" s="86"/>
      <c r="B31" s="84"/>
      <c r="C31" s="84"/>
      <c r="D31" s="84"/>
      <c r="E31" s="84"/>
      <c r="F31" s="84"/>
      <c r="G31" s="84"/>
      <c r="H31" s="85"/>
    </row>
    <row r="32" spans="1:8" s="2" customFormat="1" ht="17.100000000000001" customHeight="1" thickBot="1" x14ac:dyDescent="0.3">
      <c r="A32" s="87"/>
      <c r="B32" s="88"/>
      <c r="C32" s="88"/>
      <c r="D32" s="88"/>
      <c r="E32" s="88"/>
      <c r="F32" s="88"/>
      <c r="G32" s="88"/>
      <c r="H32" s="89"/>
    </row>
    <row r="33" spans="1:8" s="2" customFormat="1" ht="17.100000000000001" customHeight="1" x14ac:dyDescent="0.25">
      <c r="A33" s="30"/>
      <c r="B33" s="30"/>
      <c r="C33" s="30"/>
      <c r="D33" s="30"/>
      <c r="E33" s="30"/>
      <c r="F33" s="30"/>
      <c r="G33" s="30"/>
      <c r="H33" s="30"/>
    </row>
    <row r="34" spans="1:8" s="2" customFormat="1" x14ac:dyDescent="0.25"/>
    <row r="35" spans="1:8" s="2" customFormat="1" ht="15.75" thickBot="1" x14ac:dyDescent="0.3"/>
    <row r="36" spans="1:8" s="2" customFormat="1" ht="15.75" thickBot="1" x14ac:dyDescent="0.3">
      <c r="A36" s="56" t="s">
        <v>7</v>
      </c>
      <c r="B36" s="57"/>
      <c r="C36" s="42" t="str">
        <f>IF(SUM(D39:D52)=0,"","De "&amp;MROUND(16*D53/20,1)&amp;" à "&amp; D53 &amp;""&amp; CHAR(10) &amp; " =  A")</f>
        <v>De 16 à 20
 =  A</v>
      </c>
      <c r="D36" s="58" t="str">
        <f>IF(SUM(D39:D52)=0,"","De "&amp;MROUND(12*D53/20,1)&amp;" à "&amp; MROUND(16*D53/20,1)-0.01 &amp;""&amp;CHAR(10)&amp; " =  B")</f>
        <v>De 12 à 15,99
 =  B</v>
      </c>
      <c r="E36" s="58"/>
      <c r="F36" s="58" t="str">
        <f>IF(SUM(D39:D52)=0,"","De "&amp;MROUND(8*D53/20,1)&amp;" à "&amp; MROUND(12*D53/20,1)-0.01 &amp;""&amp;CHAR(10)&amp; " =  C")</f>
        <v>De 8 à 11,99
 =  C</v>
      </c>
      <c r="G36" s="58"/>
      <c r="H36" s="43" t="str">
        <f>IF(SUM(D39:D52)=0,"","De "&amp;0&amp;" à "&amp; MROUND(8*D53/20,1)-0.01 &amp;""&amp;CHAR(10)&amp; " =  D")</f>
        <v>De 0 à 7,99
 =  D</v>
      </c>
    </row>
    <row r="37" spans="1:8" ht="15.75" thickBot="1" x14ac:dyDescent="0.3"/>
    <row r="38" spans="1:8" s="2" customFormat="1" ht="23.25" thickBot="1" x14ac:dyDescent="0.3">
      <c r="A38" s="1" t="s">
        <v>6</v>
      </c>
      <c r="B38" s="94" t="s">
        <v>2</v>
      </c>
      <c r="C38" s="57"/>
      <c r="D38" s="21" t="s">
        <v>3</v>
      </c>
      <c r="E38" s="21" t="s">
        <v>4</v>
      </c>
      <c r="F38" s="95" t="s">
        <v>5</v>
      </c>
      <c r="G38" s="95"/>
      <c r="H38" s="96"/>
    </row>
    <row r="39" spans="1:8" s="2" customFormat="1" ht="30" customHeight="1" x14ac:dyDescent="0.25">
      <c r="A39" s="63" t="s">
        <v>16</v>
      </c>
      <c r="B39" s="97" t="s">
        <v>27</v>
      </c>
      <c r="C39" s="98"/>
      <c r="D39" s="44">
        <v>1</v>
      </c>
      <c r="E39" s="44"/>
      <c r="F39" s="99"/>
      <c r="G39" s="99"/>
      <c r="H39" s="100"/>
    </row>
    <row r="40" spans="1:8" s="2" customFormat="1" ht="30" customHeight="1" x14ac:dyDescent="0.25">
      <c r="A40" s="61"/>
      <c r="B40" s="49" t="s">
        <v>28</v>
      </c>
      <c r="C40" s="50"/>
      <c r="D40" s="8">
        <v>2</v>
      </c>
      <c r="E40" s="8"/>
      <c r="F40" s="46"/>
      <c r="G40" s="47"/>
      <c r="H40" s="48"/>
    </row>
    <row r="41" spans="1:8" s="2" customFormat="1" ht="30" customHeight="1" x14ac:dyDescent="0.25">
      <c r="A41" s="61"/>
      <c r="B41" s="49" t="s">
        <v>42</v>
      </c>
      <c r="C41" s="50"/>
      <c r="D41" s="8">
        <v>2</v>
      </c>
      <c r="E41" s="8"/>
      <c r="F41" s="46"/>
      <c r="G41" s="47"/>
      <c r="H41" s="48"/>
    </row>
    <row r="42" spans="1:8" s="2" customFormat="1" ht="61.5" customHeight="1" x14ac:dyDescent="0.25">
      <c r="A42" s="61"/>
      <c r="B42" s="49" t="s">
        <v>29</v>
      </c>
      <c r="C42" s="50"/>
      <c r="D42" s="8">
        <v>1</v>
      </c>
      <c r="E42" s="8"/>
      <c r="F42" s="46"/>
      <c r="G42" s="47"/>
      <c r="H42" s="48"/>
    </row>
    <row r="43" spans="1:8" s="2" customFormat="1" ht="30" customHeight="1" x14ac:dyDescent="0.25">
      <c r="A43" s="61"/>
      <c r="B43" s="49" t="s">
        <v>36</v>
      </c>
      <c r="C43" s="50"/>
      <c r="D43" s="8">
        <v>1</v>
      </c>
      <c r="E43" s="8"/>
      <c r="F43" s="46"/>
      <c r="G43" s="47"/>
      <c r="H43" s="48"/>
    </row>
    <row r="44" spans="1:8" s="2" customFormat="1" ht="30" customHeight="1" x14ac:dyDescent="0.25">
      <c r="A44" s="61"/>
      <c r="B44" s="49" t="s">
        <v>30</v>
      </c>
      <c r="C44" s="50"/>
      <c r="D44" s="8">
        <v>1</v>
      </c>
      <c r="E44" s="8"/>
      <c r="F44" s="46"/>
      <c r="G44" s="47"/>
      <c r="H44" s="48"/>
    </row>
    <row r="45" spans="1:8" s="2" customFormat="1" ht="30" customHeight="1" x14ac:dyDescent="0.25">
      <c r="A45" s="61"/>
      <c r="B45" s="49" t="s">
        <v>31</v>
      </c>
      <c r="C45" s="50"/>
      <c r="D45" s="8">
        <v>2</v>
      </c>
      <c r="E45" s="8"/>
      <c r="F45" s="46"/>
      <c r="G45" s="47"/>
      <c r="H45" s="48"/>
    </row>
    <row r="46" spans="1:8" s="2" customFormat="1" ht="30" customHeight="1" x14ac:dyDescent="0.25">
      <c r="A46" s="61"/>
      <c r="B46" s="49" t="s">
        <v>32</v>
      </c>
      <c r="C46" s="50"/>
      <c r="D46" s="8">
        <v>2</v>
      </c>
      <c r="E46" s="8"/>
      <c r="F46" s="46"/>
      <c r="G46" s="47"/>
      <c r="H46" s="48"/>
    </row>
    <row r="47" spans="1:8" s="2" customFormat="1" ht="30" customHeight="1" x14ac:dyDescent="0.25">
      <c r="A47" s="61"/>
      <c r="B47" s="49" t="s">
        <v>33</v>
      </c>
      <c r="C47" s="50"/>
      <c r="D47" s="8">
        <v>1</v>
      </c>
      <c r="E47" s="8"/>
      <c r="F47" s="46"/>
      <c r="G47" s="47"/>
      <c r="H47" s="48"/>
    </row>
    <row r="48" spans="1:8" s="2" customFormat="1" ht="30" customHeight="1" x14ac:dyDescent="0.25">
      <c r="A48" s="64"/>
      <c r="B48" s="49" t="s">
        <v>34</v>
      </c>
      <c r="C48" s="50"/>
      <c r="D48" s="8">
        <v>1</v>
      </c>
      <c r="E48" s="8"/>
      <c r="F48" s="46"/>
      <c r="G48" s="47"/>
      <c r="H48" s="48"/>
    </row>
    <row r="49" spans="1:8" s="2" customFormat="1" ht="32.25" customHeight="1" x14ac:dyDescent="0.25">
      <c r="A49" s="60" t="s">
        <v>15</v>
      </c>
      <c r="B49" s="49" t="s">
        <v>37</v>
      </c>
      <c r="C49" s="50"/>
      <c r="D49" s="8">
        <v>2</v>
      </c>
      <c r="E49" s="8"/>
      <c r="F49" s="46"/>
      <c r="G49" s="47"/>
      <c r="H49" s="48"/>
    </row>
    <row r="50" spans="1:8" s="2" customFormat="1" ht="30" customHeight="1" x14ac:dyDescent="0.25">
      <c r="A50" s="61"/>
      <c r="B50" s="49" t="s">
        <v>35</v>
      </c>
      <c r="C50" s="50"/>
      <c r="D50" s="8">
        <v>1</v>
      </c>
      <c r="E50" s="8"/>
      <c r="F50" s="46"/>
      <c r="G50" s="47"/>
      <c r="H50" s="48"/>
    </row>
    <row r="51" spans="1:8" s="2" customFormat="1" ht="30" customHeight="1" x14ac:dyDescent="0.25">
      <c r="A51" s="61"/>
      <c r="B51" s="59" t="s">
        <v>43</v>
      </c>
      <c r="C51" s="59"/>
      <c r="D51" s="8">
        <v>1</v>
      </c>
      <c r="E51" s="8"/>
      <c r="F51" s="46"/>
      <c r="G51" s="47"/>
      <c r="H51" s="48"/>
    </row>
    <row r="52" spans="1:8" s="2" customFormat="1" ht="30" customHeight="1" thickBot="1" x14ac:dyDescent="0.3">
      <c r="A52" s="62"/>
      <c r="B52" s="51" t="s">
        <v>44</v>
      </c>
      <c r="C52" s="52"/>
      <c r="D52" s="45">
        <v>2</v>
      </c>
      <c r="E52" s="45"/>
      <c r="F52" s="53"/>
      <c r="G52" s="54"/>
      <c r="H52" s="55"/>
    </row>
    <row r="53" spans="1:8" s="2" customFormat="1" ht="15.75" thickBot="1" x14ac:dyDescent="0.3">
      <c r="C53" s="9" t="s">
        <v>8</v>
      </c>
      <c r="D53" s="12">
        <f>IF(COUNTA(D39:D52)=0,"",SUM(D39:D52))</f>
        <v>20</v>
      </c>
      <c r="E53" s="11" t="str">
        <f>IF(COUNTA(E39:E52)=0,"",SUM(E39:E52))</f>
        <v/>
      </c>
      <c r="F53" s="10"/>
      <c r="G53" s="20" t="s">
        <v>11</v>
      </c>
      <c r="H53" s="36" t="str">
        <f>IF(E53="","",IF(E53&gt;=MROUND(16*D53/20,1),"A",IF(E53&gt;=MROUND(12*D53/20,1),"B",IF(E53&gt;=MROUND(8*D53/20,1),"C","D"))))</f>
        <v/>
      </c>
    </row>
    <row r="54" spans="1:8" s="2" customFormat="1" x14ac:dyDescent="0.25">
      <c r="C54" s="9"/>
      <c r="D54" s="19"/>
      <c r="E54" s="18"/>
      <c r="F54" s="10"/>
      <c r="G54" s="17"/>
    </row>
  </sheetData>
  <mergeCells count="56">
    <mergeCell ref="B38:C38"/>
    <mergeCell ref="F38:H38"/>
    <mergeCell ref="B39:C39"/>
    <mergeCell ref="F39:H39"/>
    <mergeCell ref="A4:B4"/>
    <mergeCell ref="A6:B6"/>
    <mergeCell ref="B21:D21"/>
    <mergeCell ref="C4:G4"/>
    <mergeCell ref="C6:G6"/>
    <mergeCell ref="E21:G21"/>
    <mergeCell ref="E11:F11"/>
    <mergeCell ref="B40:C40"/>
    <mergeCell ref="F40:H40"/>
    <mergeCell ref="B14:D14"/>
    <mergeCell ref="B13:D13"/>
    <mergeCell ref="B9:C9"/>
    <mergeCell ref="F9:G9"/>
    <mergeCell ref="B22:D22"/>
    <mergeCell ref="B23:D23"/>
    <mergeCell ref="B24:D24"/>
    <mergeCell ref="E13:F13"/>
    <mergeCell ref="E14:F14"/>
    <mergeCell ref="E12:F12"/>
    <mergeCell ref="E24:G24"/>
    <mergeCell ref="A27:H32"/>
    <mergeCell ref="E22:G22"/>
    <mergeCell ref="E23:G23"/>
    <mergeCell ref="B52:C52"/>
    <mergeCell ref="F52:H52"/>
    <mergeCell ref="A36:B36"/>
    <mergeCell ref="D36:E36"/>
    <mergeCell ref="F36:G36"/>
    <mergeCell ref="B51:C51"/>
    <mergeCell ref="A49:A52"/>
    <mergeCell ref="A39:A48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1:H51"/>
    <mergeCell ref="B41:C41"/>
    <mergeCell ref="B42:C42"/>
    <mergeCell ref="B43:C43"/>
    <mergeCell ref="B44:C44"/>
    <mergeCell ref="B50:C50"/>
    <mergeCell ref="F50:H50"/>
    <mergeCell ref="B45:C45"/>
    <mergeCell ref="B46:C46"/>
    <mergeCell ref="B47:C47"/>
    <mergeCell ref="B48:C48"/>
    <mergeCell ref="B49:C49"/>
  </mergeCells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&amp;L&amp;G&amp;R&amp;"-,Gras"&amp;14
Grille d'évaluation
&amp;12Projet Individuel</oddHeader>
    <oddFooter>&amp;L&amp;F&amp;R&amp;P/&amp;N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f7b856-3a9e-47ab-b52e-d8a36fea2622">
      <Terms xmlns="http://schemas.microsoft.com/office/infopath/2007/PartnerControls"/>
    </lcf76f155ced4ddcb4097134ff3c332f>
    <TaxCatchAll xmlns="ea418fef-c7a7-479f-8a34-f0cdebb3a91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5DD0C4F3DA1E4CAB4339F0B138BB53" ma:contentTypeVersion="12" ma:contentTypeDescription="Crée un document." ma:contentTypeScope="" ma:versionID="70ee7f8a02aa0f61552346a9f09967b3">
  <xsd:schema xmlns:xsd="http://www.w3.org/2001/XMLSchema" xmlns:xs="http://www.w3.org/2001/XMLSchema" xmlns:p="http://schemas.microsoft.com/office/2006/metadata/properties" xmlns:ns2="15f7b856-3a9e-47ab-b52e-d8a36fea2622" xmlns:ns3="ea418fef-c7a7-479f-8a34-f0cdebb3a91a" targetNamespace="http://schemas.microsoft.com/office/2006/metadata/properties" ma:root="true" ma:fieldsID="751a2787fd60f0f76ed5dbd6dc305875" ns2:_="" ns3:_="">
    <xsd:import namespace="15f7b856-3a9e-47ab-b52e-d8a36fea2622"/>
    <xsd:import namespace="ea418fef-c7a7-479f-8a34-f0cdebb3a9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7b856-3a9e-47ab-b52e-d8a36fea26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a141cfe-7933-482d-bbb8-97c86f16e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8fef-c7a7-479f-8a34-f0cdebb3a91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6915d7-a6a5-43f0-a297-4a96acdb05de}" ma:internalName="TaxCatchAll" ma:showField="CatchAllData" ma:web="ea418fef-c7a7-479f-8a34-f0cdebb3a9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1332BB-2E44-45D3-9C6B-86F07B61FFDE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15f7b856-3a9e-47ab-b52e-d8a36fea2622"/>
    <ds:schemaRef ds:uri="http://purl.org/dc/elements/1.1/"/>
    <ds:schemaRef ds:uri="http://schemas.microsoft.com/office/infopath/2007/PartnerControls"/>
    <ds:schemaRef ds:uri="ea418fef-c7a7-479f-8a34-f0cdebb3a91a"/>
  </ds:schemaRefs>
</ds:datastoreItem>
</file>

<file path=customXml/itemProps2.xml><?xml version="1.0" encoding="utf-8"?>
<ds:datastoreItem xmlns:ds="http://schemas.openxmlformats.org/officeDocument/2006/customXml" ds:itemID="{9D2C4C80-2BD3-4716-9E48-98B2307980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f7b856-3a9e-47ab-b52e-d8a36fea2622"/>
    <ds:schemaRef ds:uri="ea418fef-c7a7-479f-8a34-f0cdebb3a9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14C0CF-E47B-466A-B9B1-7EC5211843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Grille à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FACON Cédric</dc:creator>
  <cp:lastModifiedBy>PAVARD Laurent</cp:lastModifiedBy>
  <cp:lastPrinted>2020-02-03T10:34:53Z</cp:lastPrinted>
  <dcterms:created xsi:type="dcterms:W3CDTF">2020-02-01T09:20:16Z</dcterms:created>
  <dcterms:modified xsi:type="dcterms:W3CDTF">2025-11-21T08:27:55Z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0x010100045DD0C4F3DA1E4CAB4339F0B138BB53</vt:lpwstr>
  </property>
</Properties>
</file>